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orm Responses 1" sheetId="2" state="visible" r:id="rId2"/>
    <sheet xmlns:r="http://schemas.openxmlformats.org/officeDocument/2006/relationships" name="Processed Data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Trends" sheetId="5" state="visible" r:id="rId5"/>
    <sheet xmlns:r="http://schemas.openxmlformats.org/officeDocument/2006/relationships" name="FG vs PUNT Trends" sheetId="6" state="visible" r:id="rId6"/>
    <sheet xmlns:r="http://schemas.openxmlformats.org/officeDocument/2006/relationships" name="Daily Snapsh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</font>
    <font>
      <b val="1"/>
      <sz val="2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SnapTracker9000 - Template Instructions</t>
        </is>
      </c>
    </row>
    <row r="3">
      <c r="A3" t="inlineStr">
        <is>
          <t>This template contains the full SnapTracker9000 system with six tabs.</t>
        </is>
      </c>
    </row>
    <row r="4">
      <c r="A4" t="inlineStr">
        <is>
          <t>Upload this file to Google Drive and open it with Google Sheets for all formulas to work.</t>
        </is>
      </c>
    </row>
    <row r="6">
      <c r="A6" s="2" t="inlineStr">
        <is>
          <t>TABS INCLUDED:</t>
        </is>
      </c>
    </row>
    <row r="7">
      <c r="A7" t="inlineStr">
        <is>
          <t>1. Form Responses 1 - Raw data from Google Form (do not edit)</t>
        </is>
      </c>
    </row>
    <row r="8">
      <c r="A8" t="inlineStr">
        <is>
          <t>2. Processed Data - Core processing layer with Good/Bad logic and helper columns</t>
        </is>
      </c>
    </row>
    <row r="9">
      <c r="A9" t="inlineStr">
        <is>
          <t>3. Dashboard - Overall performance summary</t>
        </is>
      </c>
    </row>
    <row r="10">
      <c r="A10" t="inlineStr">
        <is>
          <t>4. Trends - Daily trends with charts (Good % and Issue trends)</t>
        </is>
      </c>
    </row>
    <row r="11">
      <c r="A11" t="inlineStr">
        <is>
          <t>5. FG vs PUNT Trends - Side-by-side PAT/FG vs Punt daily tracking + 5 charts</t>
        </is>
      </c>
    </row>
    <row r="12">
      <c r="A12" t="inlineStr">
        <is>
          <t>6. Daily Snapshot - Quick coach view with date selector (large readable format)</t>
        </is>
      </c>
    </row>
    <row r="14">
      <c r="A14" s="2" t="inlineStr">
        <is>
          <t>IMPORTANT NOTES:</t>
        </is>
      </c>
    </row>
    <row r="15">
      <c r="A15" t="inlineStr">
        <is>
          <t>- After uploading to Google Sheets, the QUERY and ARRAYFORMULA formulas will calculate automatically.</t>
        </is>
      </c>
    </row>
    <row r="16">
      <c r="A16" t="inlineStr">
        <is>
          <t>- Use wide ranges in charts (e.g. to row 100) so they update when new practices are logged.</t>
        </is>
      </c>
    </row>
    <row r="17">
      <c r="A17" t="inlineStr">
        <is>
          <t>- The Daily Snapshot tab has a dropdown in cell C3 - select a date to see that day's data instantly.</t>
        </is>
      </c>
    </row>
    <row r="18">
      <c r="A18" t="inlineStr">
        <is>
          <t>- Sample data is included so you can see how everything works immediately.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6" max="6"/>
  </cols>
  <sheetData>
    <row r="1">
      <c r="A1" s="3" t="inlineStr">
        <is>
          <t>Timestamp</t>
        </is>
      </c>
      <c r="B1" s="3" t="inlineStr">
        <is>
          <t>Type</t>
        </is>
      </c>
      <c r="C1" s="3" t="inlineStr">
        <is>
          <t>Placement_Issue</t>
        </is>
      </c>
      <c r="D1" s="3" t="inlineStr">
        <is>
          <t>Speed_Issue</t>
        </is>
      </c>
      <c r="E1" s="3" t="inlineStr">
        <is>
          <t>Spin_Issue</t>
        </is>
      </c>
      <c r="F1" s="3" t="inlineStr">
        <is>
          <t>Notes</t>
        </is>
      </c>
    </row>
    <row r="2">
      <c r="A2" t="n">
        <v>46180.5</v>
      </c>
      <c r="B2" t="inlineStr">
        <is>
          <t>PAT/FG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/>
    </row>
    <row r="3">
      <c r="A3" t="n">
        <v>46180.51</v>
      </c>
      <c r="B3" t="inlineStr">
        <is>
          <t>Punt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Rushed it</t>
        </is>
      </c>
    </row>
    <row r="4">
      <c r="A4" t="n">
        <v>46180.52</v>
      </c>
      <c r="B4" t="inlineStr">
        <is>
          <t>PAT/FG</t>
        </is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Timestamp</t>
        </is>
      </c>
      <c r="B1" s="3" t="inlineStr">
        <is>
          <t>Type</t>
        </is>
      </c>
      <c r="C1" s="3" t="inlineStr">
        <is>
          <t>Placement_Issue</t>
        </is>
      </c>
      <c r="D1" s="3" t="inlineStr">
        <is>
          <t>Speed_Issue</t>
        </is>
      </c>
      <c r="E1" s="3" t="inlineStr">
        <is>
          <t>Spin_Issue</t>
        </is>
      </c>
      <c r="F1" s="3" t="inlineStr">
        <is>
          <t>Notes</t>
        </is>
      </c>
      <c r="G1" s="3" t="inlineStr">
        <is>
          <t>PT_Timestamp</t>
        </is>
      </c>
      <c r="H1" s="3" t="inlineStr">
        <is>
          <t>Date</t>
        </is>
      </c>
      <c r="I1" s="3" t="inlineStr">
        <is>
          <t>Good_Snap</t>
        </is>
      </c>
      <c r="J1" s="3" t="inlineStr">
        <is>
          <t>Issue_Summary</t>
        </is>
      </c>
      <c r="K1" s="3" t="inlineStr">
        <is>
          <t>Is_Good</t>
        </is>
      </c>
      <c r="L1" s="3" t="inlineStr">
        <is>
          <t>Is_Placement</t>
        </is>
      </c>
      <c r="M1" s="3" t="inlineStr">
        <is>
          <t>Is_Speed</t>
        </is>
      </c>
      <c r="N1" s="3" t="inlineStr">
        <is>
          <t>Is_Spin</t>
        </is>
      </c>
    </row>
    <row r="2">
      <c r="A2">
        <f>QUERY('Form Responses 1'!A2:F, "SELECT * WHERE A IS NOT NULL ORDER BY A", 0)</f>
        <v/>
      </c>
      <c r="G2">
        <f>ARRAYFORMULA(IF(A2:A="","",A2:A-7/24))</f>
        <v/>
      </c>
      <c r="H2">
        <f>ARRAYFORMULA(IF(G2:G="","",INT(G2:G)))</f>
        <v/>
      </c>
      <c r="I2">
        <f>ARRAYFORMULA(IF(A2:A="","",IF((C2:C="No")*(D2:D="No")*(E2:E="No"),"Good","Bad")))</f>
        <v/>
      </c>
      <c r="J2">
        <f>ARRAYFORMULA(IF(A2:A="","",SUBSTITUTE(TRIM(IF(C2:C="Yes","Placement ","")&amp;IF(D2:D="Yes","Speed ","")&amp;IF(E2:E="Yes","Spin ",""))," ",", ")))</f>
        <v/>
      </c>
      <c r="K2">
        <f>ARRAYFORMULA(IF(A2:A="","",IF(I2:I="Good",1,0)))</f>
        <v/>
      </c>
      <c r="L2">
        <f>ARRAYFORMULA(IF(A2:A="","",IF(C2:C="Yes",1,0)))</f>
        <v/>
      </c>
      <c r="M2">
        <f>ARRAYFORMULA(IF(A2:A="","",IF(D2:D="Yes",1,0)))</f>
        <v/>
      </c>
      <c r="N2">
        <f>ARRAYFORMULA(IF(A2:A="","",IF(E2:E="Yes",1,0)))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Long Snapping Dashboard</t>
        </is>
      </c>
    </row>
    <row r="3">
      <c r="A3" s="2" t="inlineStr">
        <is>
          <t>Overall Performance</t>
        </is>
      </c>
    </row>
    <row r="4">
      <c r="A4" t="inlineStr">
        <is>
          <t>Total Snaps:</t>
        </is>
      </c>
      <c r="B4">
        <f>COUNTA('Processed Data'!A2:A)</f>
        <v/>
      </c>
    </row>
    <row r="5">
      <c r="A5" t="inlineStr">
        <is>
          <t>Good Snaps:</t>
        </is>
      </c>
      <c r="B5">
        <f>COUNTIF('Processed Data'!I2:I,"Good")</f>
        <v/>
      </c>
    </row>
    <row r="6">
      <c r="A6" t="inlineStr">
        <is>
          <t>Good %:</t>
        </is>
      </c>
      <c r="B6">
        <f>IF(B4=0,0,B5/B4)</f>
        <v/>
      </c>
    </row>
    <row r="8">
      <c r="A8" s="2" t="inlineStr">
        <is>
          <t>By Snap Type</t>
        </is>
      </c>
    </row>
    <row r="9">
      <c r="A9" t="inlineStr">
        <is>
          <t>Type</t>
        </is>
      </c>
      <c r="B9" t="inlineStr">
        <is>
          <t>PAT/FG</t>
        </is>
      </c>
      <c r="C9" t="inlineStr">
        <is>
          <t>Punt</t>
        </is>
      </c>
    </row>
    <row r="10">
      <c r="A10" t="inlineStr">
        <is>
          <t>Total Snaps</t>
        </is>
      </c>
      <c r="B10">
        <f>COUNTIF('Processed Data'!B2:B,"PAT/FG")</f>
        <v/>
      </c>
      <c r="C10">
        <f>COUNTIF('Processed Data'!B2:B,"Punt")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Daily Trends</t>
        </is>
      </c>
    </row>
    <row r="3">
      <c r="A3" s="3" t="inlineStr">
        <is>
          <t>Date</t>
        </is>
      </c>
      <c r="B3" s="3" t="inlineStr">
        <is>
          <t>Total Snaps</t>
        </is>
      </c>
      <c r="C3" s="3" t="inlineStr">
        <is>
          <t>Good Snaps</t>
        </is>
      </c>
      <c r="D3" s="3" t="inlineStr">
        <is>
          <t>Placement Issues</t>
        </is>
      </c>
      <c r="E3" s="3" t="inlineStr">
        <is>
          <t>Speed Issues</t>
        </is>
      </c>
      <c r="F3" s="3" t="inlineStr">
        <is>
          <t>Spin Issues</t>
        </is>
      </c>
      <c r="G3" s="3" t="inlineStr">
        <is>
          <t>Good %</t>
        </is>
      </c>
      <c r="H3" s="3" t="inlineStr">
        <is>
          <t>Placement %</t>
        </is>
      </c>
      <c r="I3" s="3" t="inlineStr">
        <is>
          <t>Speed %</t>
        </is>
      </c>
      <c r="J3" s="3" t="inlineStr">
        <is>
          <t>Spin %</t>
        </is>
      </c>
    </row>
    <row r="4">
      <c r="A4">
        <f>QUERY('Processed Data'!A:N,"SELECT H, COUNT(A), SUM(K), SUM(L), SUM(M), SUM(N) WHERE H IS NOT NULL GROUP BY H ORDER BY H",0)</f>
        <v/>
      </c>
      <c r="G4">
        <f>ARRAYFORMULA(IF(B4:B="","",C4:C/B4:B))</f>
        <v/>
      </c>
      <c r="H4">
        <f>ARRAYFORMULA(IF(B4:B="","",D4:D/B4:B))</f>
        <v/>
      </c>
      <c r="I4">
        <f>ARRAYFORMULA(IF(B4:B="","",E4:E/B4:B))</f>
        <v/>
      </c>
      <c r="J4">
        <f>ARRAYFORMULA(IF(B4:B="","",F4:F/B4:B))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PAT/FG vs Punt Trends</t>
        </is>
      </c>
    </row>
    <row r="2">
      <c r="A2" t="inlineStr">
        <is>
          <t>Daily performance broken down by snap type</t>
        </is>
      </c>
    </row>
    <row r="4">
      <c r="A4" s="3" t="inlineStr">
        <is>
          <t>Date</t>
        </is>
      </c>
      <c r="B4" s="3" t="inlineStr">
        <is>
          <t>Total Snaps</t>
        </is>
      </c>
      <c r="C4" s="3" t="inlineStr">
        <is>
          <t>Good Snaps</t>
        </is>
      </c>
      <c r="D4" s="3" t="inlineStr">
        <is>
          <t>Placement Issues</t>
        </is>
      </c>
      <c r="E4" s="3" t="inlineStr">
        <is>
          <t>Speed Issues</t>
        </is>
      </c>
      <c r="F4" s="3" t="inlineStr">
        <is>
          <t>Spin Issues</t>
        </is>
      </c>
      <c r="G4" s="3" t="inlineStr">
        <is>
          <t>Good %</t>
        </is>
      </c>
      <c r="H4" s="3" t="inlineStr">
        <is>
          <t>Placement %</t>
        </is>
      </c>
      <c r="I4" s="3" t="inlineStr">
        <is>
          <t>Speed %</t>
        </is>
      </c>
      <c r="J4" s="3" t="inlineStr">
        <is>
          <t>Spin %</t>
        </is>
      </c>
      <c r="L4" s="3" t="inlineStr">
        <is>
          <t>Date</t>
        </is>
      </c>
      <c r="M4" s="3" t="inlineStr">
        <is>
          <t>Total Snaps</t>
        </is>
      </c>
      <c r="N4" s="3" t="inlineStr">
        <is>
          <t>Good Snaps</t>
        </is>
      </c>
      <c r="O4" s="3" t="inlineStr">
        <is>
          <t>Placement Issues</t>
        </is>
      </c>
      <c r="P4" s="3" t="inlineStr">
        <is>
          <t>Speed Issues</t>
        </is>
      </c>
      <c r="Q4" s="3" t="inlineStr">
        <is>
          <t>Spin Issues</t>
        </is>
      </c>
      <c r="R4" s="3" t="inlineStr">
        <is>
          <t>Good %</t>
        </is>
      </c>
      <c r="S4" s="3" t="inlineStr">
        <is>
          <t>Placement %</t>
        </is>
      </c>
      <c r="T4" s="3" t="inlineStr">
        <is>
          <t>Speed %</t>
        </is>
      </c>
      <c r="U4" s="3" t="inlineStr">
        <is>
          <t>Spin %</t>
        </is>
      </c>
    </row>
    <row r="5">
      <c r="A5">
        <f>QUERY('Processed Data'!A:N,"SELECT H, COUNT(A), SUM(K), SUM(L), SUM(M), SUM(N) WHERE B = 'PAT/FG' AND H IS NOT NULL GROUP BY H ORDER BY H label H 'Date', COUNT(A) 'Total Snaps', SUM(K) 'Good Snaps', SUM(L) 'Placement Issues', SUM(M) 'Speed Issues', SUM(N) 'Spin Issues'",0)</f>
        <v/>
      </c>
      <c r="L5">
        <f>QUERY('Processed Data'!A:N,"SELECT H, COUNT(A), SUM(K), SUM(L), SUM(M), SUM(N) WHERE B = 'Punt' AND H IS NOT NULL GROUP BY H ORDER BY H label H 'Date', COUNT(A) 'Total Snaps', SUM(K) 'Good Snaps', SUM(L) 'Placement Issues', SUM(M) 'Speed Issues', SUM(N) 'Spin Issues'",0)</f>
        <v/>
      </c>
    </row>
    <row r="6">
      <c r="G6">
        <f>ARRAYFORMULA(IF(B6:B="","",C6:C/B6:B))</f>
        <v/>
      </c>
      <c r="H6">
        <f>ARRAYFORMULA(IF(B6:B="","",D6:D/B6:B))</f>
        <v/>
      </c>
      <c r="I6">
        <f>ARRAYFORMULA(IF(B6:B="","",E6:E/B6:B))</f>
        <v/>
      </c>
      <c r="J6">
        <f>ARRAYFORMULA(IF(B6:B="","",F6:F/B6:B))</f>
        <v/>
      </c>
      <c r="R6">
        <f>ARRAYFORMULA(IF(M6:M="","",N6:N/M6:M))</f>
        <v/>
      </c>
      <c r="S6">
        <f>ARRAYFORMULA(IF(M6:M="","",O6:O/M6:M))</f>
        <v/>
      </c>
      <c r="T6">
        <f>ARRAYFORMULA(IF(M6:M="","",P6:P/M6:M))</f>
        <v/>
      </c>
      <c r="U6">
        <f>ARRAYFORMULA(IF(M6:M="","",Q6:Q/M6:M))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4" max="4"/>
    <col width="12" customWidth="1" min="5" max="5"/>
  </cols>
  <sheetData>
    <row r="1">
      <c r="A1" s="1" t="inlineStr">
        <is>
          <t>DAILY SNAPSHOT - Coach View</t>
        </is>
      </c>
    </row>
    <row r="3">
      <c r="A3" s="4" t="inlineStr">
        <is>
          <t>Select Practice Date:</t>
        </is>
      </c>
      <c r="C3" t="n">
        <v>46180</v>
      </c>
    </row>
    <row r="6">
      <c r="A6" s="2" t="inlineStr">
        <is>
          <t>Total Snaps Today</t>
        </is>
      </c>
    </row>
    <row r="7">
      <c r="A7" s="5">
        <f>IF(C3="","",INDEX('FG vs PUNT Trends'!B6:B,MATCH(C3,'FG vs PUNT Trends'!A6:A,0))+INDEX('FG vs PUNT Trends'!M6:M,MATCH(C3,'FG vs PUNT Trends'!L6:L,0)))</f>
        <v/>
      </c>
    </row>
    <row r="9">
      <c r="A9" t="inlineStr">
        <is>
          <t>PAT/FG Snaps</t>
        </is>
      </c>
      <c r="B9">
        <f>IF(C3="","",INDEX('FG vs PUNT Trends'!B6:B,MATCH(C3,'FG vs PUNT Trends'!A6:A,0)))</f>
        <v/>
      </c>
      <c r="C9" t="inlineStr">
        <is>
          <t>Good %</t>
        </is>
      </c>
      <c r="D9">
        <f>IF(C3="","",INDEX('FG vs PUNT Trends'!G6:G,MATCH(C3,'FG vs PUNT Trends'!A6:A,0)))</f>
        <v/>
      </c>
    </row>
    <row r="10">
      <c r="A10" t="inlineStr">
        <is>
          <t>Punt Snaps</t>
        </is>
      </c>
      <c r="B10">
        <f>IF(C3="","",INDEX('FG vs PUNT Trends'!M6:M,MATCH(C3,'FG vs PUNT Trends'!L6:L,0)))</f>
        <v/>
      </c>
      <c r="C10" t="inlineStr">
        <is>
          <t>Good %</t>
        </is>
      </c>
      <c r="D10">
        <f>IF(C3="","",INDEX('FG vs PUNT Trends'!R6:R,MATCH(C3,'FG vs PUNT Trends'!L6:L,0)))</f>
        <v/>
      </c>
    </row>
    <row r="12">
      <c r="A12" s="2" t="inlineStr">
        <is>
          <t>PAT/FG Issues Summary</t>
        </is>
      </c>
      <c r="D12" s="2" t="inlineStr">
        <is>
          <t>Punt Issues Summary</t>
        </is>
      </c>
    </row>
    <row r="13">
      <c r="A13" t="inlineStr">
        <is>
          <t>Placement %</t>
        </is>
      </c>
      <c r="B13">
        <f>IF(C3="","",INDEX('FG vs PUNT Trends'!H6:H,MATCH(C3,'FG vs PUNT Trends'!A6:A,0)))</f>
        <v/>
      </c>
      <c r="D13" t="inlineStr">
        <is>
          <t>Placement %</t>
        </is>
      </c>
      <c r="E13">
        <f>IF(C3="","",INDEX('FG vs PUNT Trends'!S6:S,MATCH(C3,'FG vs PUNT Trends'!L6:L,0)))</f>
        <v/>
      </c>
    </row>
    <row r="14">
      <c r="A14" t="inlineStr">
        <is>
          <t>Speed %</t>
        </is>
      </c>
      <c r="B14">
        <f>IF(C3="","",INDEX('FG vs PUNT Trends'!I6:I,MATCH(C3,'FG vs PUNT Trends'!A6:A,0)))</f>
        <v/>
      </c>
      <c r="D14" t="inlineStr">
        <is>
          <t>Speed %</t>
        </is>
      </c>
      <c r="E14">
        <f>IF(C3="","",INDEX('FG vs PUNT Trends'!T6:T,MATCH(C3,'FG vs PUNT Trends'!L6:L,0)))</f>
        <v/>
      </c>
    </row>
    <row r="15">
      <c r="A15" t="inlineStr">
        <is>
          <t>Spin %</t>
        </is>
      </c>
      <c r="B15">
        <f>IF(C3="","",INDEX('FG vs PUNT Trends'!J6:J,MATCH(C3,'FG vs PUNT Trends'!A6:A,0)))</f>
        <v/>
      </c>
      <c r="D15" t="inlineStr">
        <is>
          <t>Spin %</t>
        </is>
      </c>
      <c r="E15">
        <f>IF(C3="","",INDEX('FG vs PUNT Trends'!U6:U,MATCH(C3,'FG vs PUNT Trends'!L6:L,0)))</f>
        <v/>
      </c>
    </row>
  </sheetData>
  <mergeCells count="1">
    <mergeCell ref="A1:G1"/>
  </mergeCells>
  <dataValidations count="1">
    <dataValidation sqref="C3" showDropDown="0" showInputMessage="0" showErrorMessage="0" allowBlank="1" errorTitle="Invalid Date" error="Please select a valid date" type="list">
      <formula1>'FG vs PUNT Trends'!A6:A100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2026-06-07T20:25:29Z</dcterms:created>
  <dcterms:modified xmlns:dcterms="http://purl.org/dc/terms/" xmlns:xsi="http://www.w3.org/2001/XMLSchema-instance" xsi:type="dcterms:W3CDTF">2026-06-07T20:25:29Z</dcterms:modified>
</cp:coreProperties>
</file>