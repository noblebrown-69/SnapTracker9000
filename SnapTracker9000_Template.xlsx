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Form Responses 1" sheetId="2" state="visible" r:id="rId4"/>
    <sheet name="Processed Data" sheetId="3" state="visible" r:id="rId5"/>
    <sheet name="Dashboard" sheetId="4" state="visible" r:id="rId6"/>
    <sheet name="Trend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<sst xmlns="http://schemas.openxmlformats.org/spreadsheetml/2006/main" count="113" uniqueCount="69">
  <si>
    <t xml:space="preserve">SnapTracker9000 - Long Snapping Tracker Template</t>
  </si>
  <si>
    <t xml:space="preserve">Simple Google Sheets system for tracking long snapping progress</t>
  </si>
  <si>
    <t xml:space="preserve">HOW TO USE THIS TEMPLATE:</t>
  </si>
  <si>
    <t xml:space="preserve">1. Make a copy of this file in your Google Drive</t>
  </si>
  <si>
    <t xml:space="preserve">2. Connect your own Google Form to the 'Form Responses 1' tab</t>
  </si>
  <si>
    <t xml:space="preserve">3. The formulas in 'Processed Data', 'Dashboard', and 'Trends' will work automatically</t>
  </si>
  <si>
    <t xml:space="preserve">4. Add the two charts on the Trends tab (instructions below)</t>
  </si>
  <si>
    <t xml:space="preserve">TIPS FOR LONG SNAPPERS:</t>
  </si>
  <si>
    <t xml:space="preserve">- Log every snap right after you take it on your phone</t>
  </si>
  <si>
    <t xml:space="preserve">- Check the Dashboard before practice with your coach</t>
  </si>
  <si>
    <t xml:space="preserve">- Look at the Trends tab weekly to see if you're actually improving</t>
  </si>
  <si>
    <t xml:space="preserve">- Placement issues are usually the #1 problem for most snappers</t>
  </si>
  <si>
    <t xml:space="preserve">Timestamp</t>
  </si>
  <si>
    <t xml:space="preserve">Type</t>
  </si>
  <si>
    <t xml:space="preserve">Placement_Issue</t>
  </si>
  <si>
    <t xml:space="preserve">Speed_Issue</t>
  </si>
  <si>
    <t xml:space="preserve">Spin_Issue</t>
  </si>
  <si>
    <t xml:space="preserve">Notes</t>
  </si>
  <si>
    <t xml:space="preserve">2026-05-31 13:13:40</t>
  </si>
  <si>
    <t xml:space="preserve">PAT/FG</t>
  </si>
  <si>
    <t xml:space="preserve">No</t>
  </si>
  <si>
    <t xml:space="preserve">2026-05-31 13:13:50</t>
  </si>
  <si>
    <t xml:space="preserve">2026-05-31 13:14:03</t>
  </si>
  <si>
    <t xml:space="preserve">Yes</t>
  </si>
  <si>
    <t xml:space="preserve">2026-05-31 13:20:19</t>
  </si>
  <si>
    <t xml:space="preserve">Punt</t>
  </si>
  <si>
    <t xml:space="preserve">Rushed it</t>
  </si>
  <si>
    <t xml:space="preserve">2026-05-31 13:24:15</t>
  </si>
  <si>
    <t xml:space="preserve">2026-06-01 14:02:25</t>
  </si>
  <si>
    <t xml:space="preserve">Find spot to look</t>
  </si>
  <si>
    <t xml:space="preserve">2026-06-01 14:05:12</t>
  </si>
  <si>
    <t xml:space="preserve">2026-06-01 14:08:45</t>
  </si>
  <si>
    <t xml:space="preserve">Held onto it</t>
  </si>
  <si>
    <t xml:space="preserve">PT_Timestamp</t>
  </si>
  <si>
    <t xml:space="preserve">Date</t>
  </si>
  <si>
    <t xml:space="preserve">Good_Snap</t>
  </si>
  <si>
    <t xml:space="preserve">Issue_Summary</t>
  </si>
  <si>
    <t xml:space="preserve">Is_Good</t>
  </si>
  <si>
    <t xml:space="preserve">Is_Placement</t>
  </si>
  <si>
    <t xml:space="preserve">Is_Speed</t>
  </si>
  <si>
    <t xml:space="preserve">Is_Spin</t>
  </si>
  <si>
    <t xml:space="preserve">LONG SNAPPING DASHBOARD</t>
  </si>
  <si>
    <t xml:space="preserve">This tab updates automatically when you log snaps</t>
  </si>
  <si>
    <t xml:space="preserve">OVERALL PERFORMANCE</t>
  </si>
  <si>
    <t xml:space="preserve">Total Snaps</t>
  </si>
  <si>
    <t xml:space="preserve">Good Snaps</t>
  </si>
  <si>
    <t xml:space="preserve">Bad Snaps</t>
  </si>
  <si>
    <t xml:space="preserve">Good %</t>
  </si>
  <si>
    <t xml:space="preserve">BY SNAP TYPE</t>
  </si>
  <si>
    <t xml:space="preserve">ISSUE BREAKDOWN</t>
  </si>
  <si>
    <t xml:space="preserve">Issue</t>
  </si>
  <si>
    <t xml:space="preserve">% of All Snaps</t>
  </si>
  <si>
    <t xml:space="preserve">% of Bad Snaps</t>
  </si>
  <si>
    <t xml:space="preserve">Placement</t>
  </si>
  <si>
    <t xml:space="preserve">Speed</t>
  </si>
  <si>
    <t xml:space="preserve">Spin</t>
  </si>
  <si>
    <t xml:space="preserve">DAILY TRENDS &amp; PROGRESS</t>
  </si>
  <si>
    <t xml:space="preserve">This tab shows your progress over time by date. Add the two charts below after setting up.</t>
  </si>
  <si>
    <t xml:space="preserve">Placement Issues</t>
  </si>
  <si>
    <t xml:space="preserve">Speed Issues</t>
  </si>
  <si>
    <t xml:space="preserve">Spin Issues</t>
  </si>
  <si>
    <t xml:space="preserve">Placement %</t>
  </si>
  <si>
    <t xml:space="preserve">Speed %</t>
  </si>
  <si>
    <t xml:space="preserve">Spin %</t>
  </si>
  <si>
    <t xml:space="preserve">CHART INSTRUCTIONS:</t>
  </si>
  <si>
    <t xml:space="preserve">1. Select cells A3:J50</t>
  </si>
  <si>
    <t xml:space="preserve">2. Insert &gt; Chart</t>
  </si>
  <si>
    <t xml:space="preserve">3. Create 'Good % Trend' line chart (keep only Good % series)</t>
  </si>
  <si>
    <t xml:space="preserve">4. Create 'Issue Trends' line chart (keep Placement %, Speed %, Spin % series)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</si>
</sst>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8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8"/>
  </cols>
  <sheetData>
    <row r="1" customFormat="false" ht="15" hidden="false" customHeight="fals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  <c r="C2" s="0" t="s">
        <v>20</v>
      </c>
      <c r="D2" s="0" t="s">
        <v>20</v>
      </c>
      <c r="E2" s="0" t="s">
        <v>20</v>
      </c>
    </row>
    <row r="3" customFormat="false" ht="15" hidden="false" customHeight="false" outlineLevel="0" collapsed="false">
      <c r="A3" s="0" t="s">
        <v>21</v>
      </c>
      <c r="B3" s="0" t="s">
        <v>19</v>
      </c>
      <c r="C3" s="0" t="s">
        <v>20</v>
      </c>
      <c r="D3" s="0" t="s">
        <v>20</v>
      </c>
      <c r="E3" s="0" t="s">
        <v>20</v>
      </c>
    </row>
    <row r="4" customFormat="false" ht="15" hidden="false" customHeight="false" outlineLevel="0" collapsed="false">
      <c r="A4" s="0" t="s">
        <v>22</v>
      </c>
      <c r="B4" s="0" t="s">
        <v>19</v>
      </c>
      <c r="C4" s="0" t="s">
        <v>20</v>
      </c>
      <c r="D4" s="0" t="s">
        <v>20</v>
      </c>
      <c r="E4" s="0" t="s">
        <v>23</v>
      </c>
    </row>
    <row r="5" customFormat="false" ht="15" hidden="false" customHeight="false" outlineLevel="0" collapsed="false">
      <c r="A5" s="0" t="s">
        <v>24</v>
      </c>
      <c r="B5" s="0" t="s">
        <v>25</v>
      </c>
      <c r="C5" s="0" t="s">
        <v>23</v>
      </c>
      <c r="D5" s="0" t="s">
        <v>20</v>
      </c>
      <c r="E5" s="0" t="s">
        <v>20</v>
      </c>
      <c r="F5" s="0" t="s">
        <v>26</v>
      </c>
    </row>
    <row r="6" customFormat="false" ht="15" hidden="false" customHeight="false" outlineLevel="0" collapsed="false">
      <c r="A6" s="0" t="s">
        <v>27</v>
      </c>
      <c r="B6" s="0" t="s">
        <v>25</v>
      </c>
      <c r="C6" s="0" t="s">
        <v>23</v>
      </c>
      <c r="D6" s="0" t="s">
        <v>20</v>
      </c>
      <c r="E6" s="0" t="s">
        <v>23</v>
      </c>
    </row>
    <row r="7" customFormat="false" ht="15" hidden="false" customHeight="false" outlineLevel="0" collapsed="false">
      <c r="A7" s="0" t="s">
        <v>28</v>
      </c>
      <c r="B7" s="0" t="s">
        <v>19</v>
      </c>
      <c r="C7" s="0" t="s">
        <v>23</v>
      </c>
      <c r="D7" s="0" t="s">
        <v>20</v>
      </c>
      <c r="E7" s="0" t="s">
        <v>20</v>
      </c>
      <c r="F7" s="0" t="s">
        <v>29</v>
      </c>
    </row>
    <row r="8" customFormat="false" ht="15" hidden="false" customHeight="false" outlineLevel="0" collapsed="false">
      <c r="A8" s="0" t="s">
        <v>30</v>
      </c>
      <c r="B8" s="0" t="s">
        <v>25</v>
      </c>
      <c r="C8" s="0" t="s">
        <v>20</v>
      </c>
      <c r="D8" s="0" t="s">
        <v>20</v>
      </c>
      <c r="E8" s="0" t="s">
        <v>20</v>
      </c>
    </row>
    <row r="9" customFormat="false" ht="15" hidden="false" customHeight="false" outlineLevel="0" collapsed="false">
      <c r="A9" s="0" t="s">
        <v>31</v>
      </c>
      <c r="B9" s="0" t="s">
        <v>25</v>
      </c>
      <c r="C9" s="0" t="s">
        <v>23</v>
      </c>
      <c r="D9" s="0" t="s">
        <v>20</v>
      </c>
      <c r="E9" s="0" t="s">
        <v>20</v>
      </c>
      <c r="F9" s="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6"/>
    <col collapsed="false" customWidth="true" hidden="false" outlineLevel="0" max="10" min="10" style="0" width="22"/>
    <col collapsed="false" customWidth="true" hidden="false" outlineLevel="0" max="14" min="11" style="0" width="16"/>
  </cols>
  <sheetData>
    <row r="1" customFormat="false" ht="15" hidden="false" customHeight="fals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</row>
    <row r="2" customFormat="false" ht="15" hidden="false" customHeight="false" outlineLevel="0" collapsed="false">
      <c r="A2" s="0" t="e">
        <f aca="false">query('Form Responses 1'!A2:F2, "SELECT * WHERE A IS NOT NULL ORDER BY A", 0)</f>
        <v>#NAME?</v>
      </c>
      <c r="G2" s="0" t="e">
        <f aca="false">arrayformula(IF(a2:a="","",a2:a-7/24))</f>
        <v>#NAME?</v>
      </c>
      <c r="H2" s="0" t="e">
        <f aca="false">arrayformula(IF(g2:g="","",INT(g2:g)))</f>
        <v>#NAME?</v>
      </c>
      <c r="I2" s="0" t="e">
        <f aca="false">arrayformula(IF(a2:a="","",IF((c2:c="No")*(d2:d="No")*(e2:e="No"),"Good","Bad")))</f>
        <v>#NAME?</v>
      </c>
      <c r="J2" s="0" t="e">
        <f aca="false">arrayformula(IF(a2:a="","",SUBSTITUTE(TRIM(IF(c2:c="Yes","Placement ","")&amp;IF(d2:d="Yes","Speed ","")&amp;IF(e2:e="Yes","Spin ",""))," ",", ")))</f>
        <v>#NAME?</v>
      </c>
      <c r="K2" s="0" t="e">
        <f aca="false">arrayformula(IF(a2:a="","",IF(i2:i="Good",1,0)))</f>
        <v>#NAME?</v>
      </c>
      <c r="L2" s="0" t="e">
        <f aca="false">arrayformula(IF(a2:a="","",IF(c2:c="Yes",1,0)))</f>
        <v>#NAME?</v>
      </c>
      <c r="M2" s="0" t="e">
        <f aca="false">arrayformula(IF(a2:a="","",IF(d2:d="Yes",1,0)))</f>
        <v>#NAME?</v>
      </c>
      <c r="N2" s="0" t="e">
        <f aca="false">arrayformula(IF(a2:a="","",IF(e2:e="Yes",1,0)))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</cols>
  <sheetData>
    <row r="1" customFormat="false" ht="17.35" hidden="false" customHeight="false" outlineLevel="0" collapsed="false">
      <c r="A1" s="5" t="s">
        <v>41</v>
      </c>
    </row>
    <row r="2" customFormat="false" ht="15" hidden="false" customHeight="false" outlineLevel="0" collapsed="false">
      <c r="A2" s="6" t="s">
        <v>42</v>
      </c>
    </row>
    <row r="4" customFormat="false" ht="15" hidden="false" customHeight="false" outlineLevel="0" collapsed="false">
      <c r="A4" s="2" t="s">
        <v>43</v>
      </c>
    </row>
    <row r="5" customFormat="false" ht="15" hidden="false" customHeight="false" outlineLevel="0" collapsed="false">
      <c r="A5" s="0" t="s">
        <v>44</v>
      </c>
      <c r="B5" s="0" t="n">
        <f aca="false">COUNTA('Processed Data'!A:A)-1</f>
        <v>1</v>
      </c>
    </row>
    <row r="6" customFormat="false" ht="15" hidden="false" customHeight="false" outlineLevel="0" collapsed="false">
      <c r="A6" s="0" t="s">
        <v>45</v>
      </c>
      <c r="B6" s="0" t="n">
        <f aca="false">COUNTIF('Processed Data'!I:I,"Good")</f>
        <v>0</v>
      </c>
    </row>
    <row r="7" customFormat="false" ht="15" hidden="false" customHeight="false" outlineLevel="0" collapsed="false">
      <c r="A7" s="0" t="s">
        <v>46</v>
      </c>
      <c r="B7" s="0" t="n">
        <f aca="false">B5-B6</f>
        <v>1</v>
      </c>
    </row>
    <row r="8" customFormat="false" ht="15" hidden="false" customHeight="false" outlineLevel="0" collapsed="false">
      <c r="A8" s="0" t="s">
        <v>47</v>
      </c>
      <c r="B8" s="7" t="n">
        <f aca="false">IF(B5&gt;0,B6/B5,0)</f>
        <v>0</v>
      </c>
    </row>
    <row r="10" customFormat="false" ht="15" hidden="false" customHeight="false" outlineLevel="0" collapsed="false">
      <c r="A10" s="2" t="s">
        <v>48</v>
      </c>
    </row>
    <row r="11" customFormat="false" ht="15" hidden="false" customHeight="false" outlineLevel="0" collapsed="false">
      <c r="A11" s="0" t="s">
        <v>13</v>
      </c>
      <c r="B11" s="0" t="s">
        <v>19</v>
      </c>
      <c r="C11" s="0" t="s">
        <v>25</v>
      </c>
    </row>
    <row r="12" customFormat="false" ht="15" hidden="false" customHeight="false" outlineLevel="0" collapsed="false">
      <c r="A12" s="0" t="s">
        <v>44</v>
      </c>
      <c r="B12" s="0" t="n">
        <f aca="false">COUNTIF('Processed Data'!B:B,"PAT/FG")</f>
        <v>0</v>
      </c>
      <c r="C12" s="0" t="n">
        <f aca="false">COUNTIF('Processed Data'!B:B,"Punt")</f>
        <v>0</v>
      </c>
    </row>
    <row r="13" customFormat="false" ht="15" hidden="false" customHeight="false" outlineLevel="0" collapsed="false">
      <c r="A13" s="0" t="s">
        <v>45</v>
      </c>
      <c r="B13" s="0" t="n">
        <f aca="false">COUNTIFS('Processed Data'!B:B,"PAT/FG",'Processed Data'!I:I,"Good")</f>
        <v>0</v>
      </c>
      <c r="C13" s="0" t="n">
        <f aca="false">COUNTIFS('Processed Data'!B:B,"Punt",'Processed Data'!I:I,"Good")</f>
        <v>0</v>
      </c>
    </row>
    <row r="14" customFormat="false" ht="15" hidden="false" customHeight="false" outlineLevel="0" collapsed="false">
      <c r="A14" s="0" t="s">
        <v>47</v>
      </c>
      <c r="B14" s="7" t="n">
        <f aca="false">IF(B12&gt;0,B13/B12,0)</f>
        <v>0</v>
      </c>
      <c r="C14" s="7" t="n">
        <f aca="false">IF(C12&gt;0,C13/C12,0)</f>
        <v>0</v>
      </c>
    </row>
    <row r="16" customFormat="false" ht="15" hidden="false" customHeight="false" outlineLevel="0" collapsed="false">
      <c r="A16" s="2" t="s">
        <v>49</v>
      </c>
    </row>
    <row r="17" customFormat="false" ht="15" hidden="false" customHeight="false" outlineLevel="0" collapsed="false">
      <c r="A17" s="0" t="s">
        <v>50</v>
      </c>
      <c r="B17" s="0" t="s">
        <v>51</v>
      </c>
      <c r="C17" s="0" t="s">
        <v>52</v>
      </c>
    </row>
    <row r="18" customFormat="false" ht="15" hidden="false" customHeight="false" outlineLevel="0" collapsed="false">
      <c r="A18" s="0" t="s">
        <v>53</v>
      </c>
      <c r="B18" s="7" t="n">
        <f aca="false">IF(B5&gt;0,COUNTIF('Processed Data'!C:C,"Yes")/B5,0)</f>
        <v>0</v>
      </c>
      <c r="C18" s="7" t="n">
        <f aca="false">IF(B7&gt;0,COUNTIFS('Processed Data'!C:C,"Yes",'Processed Data'!I:I,"Bad")/B7,0)</f>
        <v>0</v>
      </c>
    </row>
    <row r="19" customFormat="false" ht="15" hidden="false" customHeight="false" outlineLevel="0" collapsed="false">
      <c r="A19" s="0" t="s">
        <v>54</v>
      </c>
      <c r="B19" s="7" t="n">
        <f aca="false">IF(B5&gt;0,COUNTIF('Processed Data'!D:D,"Yes")/B5,0)</f>
        <v>0</v>
      </c>
      <c r="C19" s="7" t="n">
        <f aca="false">IF(B7&gt;0,COUNTIFS('Processed Data'!D:D,"Yes",'Processed Data'!I:I,"Bad")/B7,0)</f>
        <v>0</v>
      </c>
    </row>
    <row r="20" customFormat="false" ht="15" hidden="false" customHeight="false" outlineLevel="0" collapsed="false">
      <c r="A20" s="0" t="s">
        <v>55</v>
      </c>
      <c r="B20" s="7" t="n">
        <f aca="false">IF(B5&gt;0,COUNTIF('Processed Data'!E:E,"Yes")/B5,0)</f>
        <v>0</v>
      </c>
      <c r="C20" s="7" t="n">
        <f aca="false">IF(B7&gt;0,COUNTIFS('Processed Data'!E:E,"Yes",'Processed Data'!I:I,"Bad")/B7,0)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5" t="s">
        <v>56</v>
      </c>
    </row>
    <row r="2" customFormat="false" ht="15" hidden="false" customHeight="false" outlineLevel="0" collapsed="false">
      <c r="A2" s="6" t="s">
        <v>57</v>
      </c>
    </row>
    <row r="3" customFormat="false" ht="15" hidden="false" customHeight="false" outlineLevel="0" collapsed="false">
      <c r="A3" s="4" t="s">
        <v>34</v>
      </c>
      <c r="B3" s="4" t="s">
        <v>44</v>
      </c>
      <c r="C3" s="4" t="s">
        <v>45</v>
      </c>
      <c r="D3" s="4" t="s">
        <v>58</v>
      </c>
      <c r="E3" s="4" t="s">
        <v>59</v>
      </c>
      <c r="F3" s="4" t="s">
        <v>60</v>
      </c>
      <c r="G3" s="4" t="s">
        <v>47</v>
      </c>
      <c r="H3" s="4" t="s">
        <v>61</v>
      </c>
      <c r="I3" s="4" t="s">
        <v>62</v>
      </c>
      <c r="J3" s="4" t="s">
        <v>63</v>
      </c>
    </row>
    <row r="4" customFormat="false" ht="15" hidden="false" customHeight="false" outlineLevel="0" collapsed="false">
      <c r="A4" s="0" t="e">
        <f aca="false">query('Processed Data'!A:N, "SELECT H, COUNT(A), SUM(K), SUM(L), SUM(M), SUM(N) WHERE H IS NOT NULL GROUP BY H ORDER BY H", 0)</f>
        <v>#NAME?</v>
      </c>
      <c r="G4" s="0" t="e">
        <f aca="false">arrayformula(IF(b4:b="","",c4:c/b4:b))</f>
        <v>#NAME?</v>
      </c>
      <c r="H4" s="0" t="e">
        <f aca="false">arrayformula(IF(b4:b="","",d4:d/b4:b))</f>
        <v>#NAME?</v>
      </c>
      <c r="I4" s="0" t="e">
        <f aca="false">arrayformula(IF(b4:b="","",e4:e/b4:b))</f>
        <v>#NAME?</v>
      </c>
      <c r="J4" s="0" t="e">
        <f aca="false">arrayformula(IF(b4:b="","",f4:f/b4:b))</f>
        <v>#NAME?</v>
      </c>
    </row>
    <row r="8" customFormat="false" ht="15" hidden="false" customHeight="false" outlineLevel="0" collapsed="false">
      <c r="A8" s="3" t="s">
        <v>64</v>
      </c>
    </row>
    <row r="9" customFormat="false" ht="15" hidden="false" customHeight="false" outlineLevel="0" collapsed="false">
      <c r="A9" s="0" t="s">
        <v>65</v>
      </c>
    </row>
    <row r="10" customFormat="false" ht="15" hidden="false" customHeight="false" outlineLevel="0" collapsed="false">
      <c r="A10" s="0" t="s">
        <v>66</v>
      </c>
    </row>
    <row r="11" customFormat="false" ht="15" hidden="false" customHeight="false" outlineLevel="0" collapsed="false">
      <c r="A11" s="0" t="s">
        <v>67</v>
      </c>
    </row>
    <row r="12" customFormat="false" ht="15" hidden="false" customHeight="false" outlineLevel="0" collapsed="false">
      <c r="A12" s="0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2026-06-02T19:14:30Z</dcterms:created>
  <dc:creator>openpyxl</dc:creator>
  <dc:description/>
  <dc:language>en-US</dc:language>
  <cp:lastModifiedBy/>
  <dcterms:modified xsi:type="dcterms:W3CDTF">2026-06-02T19:14:31Z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